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adf9eedf2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2a123434d24615"/>
    <x:sheet xmlns:r="http://schemas.openxmlformats.org/officeDocument/2006/relationships" name="Sheet2" sheetId="2" r:id="R4f773f107f414e9c"/>
    <x:sheet xmlns:r="http://schemas.openxmlformats.org/officeDocument/2006/relationships" name="Sheet3" sheetId="3" r:id="R0a62c4942709407a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<x:sst xmlns:x="http://schemas.openxmlformats.org/spreadsheetml/2006/main">
  <x:si>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</x:si>
  <x:si>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ITEM</x:t>
  </x:si>
  <x:si>
    <x:t xml:space="preserve">QUANTITY</x:t>
  </x:si>
  <x:si>
    <x:t xml:space="preserve">AMOUNT</x:t>
  </x:si>
  <x:si>
    <x:t xml:space="preserve">TOTAL</x:t>
  </x:si>
  <x:si>
    <x:t xml:space="preserve">AMOUNT DUE</x:t>
  </x:si>
  <x:si>
    <x:t xml:space="preserve">HIYIELDERPHOS STOCKLICK 5KG</x:t>
  </x:si>
  <x:si>
    <x:t xml:space="preserve">MACLIK DRY 2KG</x:t>
  </x:si>
  <x:si>
    <x:t xml:space="preserve">KUNGUNILL 10 ML</x:t>
  </x:si>
  <x:si>
    <x:t xml:space="preserve">TRANSPORT</x:t>
  </x:si>
  <x:si>
    <x:t xml:space="preserve">TREVIN 200G</x:t>
  </x:si>
  <x:si>
    <x:t xml:space="preserve">HIYIELDERPHOS MAZIWA 5KG</x:t>
  </x:si>
  <x:si>
    <x:t xml:space="preserve">SUM TOTAL</x:t>
  </x:si>
  <x:si>
    <x:t xml:space="preserve">FUGO DAIRY MEAL 50KG</x:t>
  </x:si>
  <x:si>
    <x:t xml:space="preserve">KUPAKULA 20 KG</x:t>
  </x:si>
  <x:si>
    <x:t xml:space="preserve">MACKLICK SUPER 20KG</x:t>
  </x:si>
  <x:si>
    <x:t xml:space="preserve">MACLIK DRY 6KG</x:t>
  </x:si>
  <x:si>
    <x:t xml:space="preserve">AMOUNT PAID</x:t>
  </x:si>
  <x:si>
    <x:t xml:space="preserve">BALANCE</x:t>
  </x:si>
  <x:si>
    <x:t xml:space="preserve">KUPAKULA GOLD 20KG</x:t>
  </x:si>
  <x:si>
    <x:t xml:space="preserve">MAZIWA MOO 20KG</x:t>
  </x:si>
  <x:si>
    <x:t xml:space="preserve">FUGO DAIRY MEAN 50KG</x:t>
  </x:si>
  <x:si>
    <x:t xml:space="preserve">16/06.2026</x:t>
  </x:si>
  <x:si>
    <x:t xml:space="preserve">CHICK MASH 1KG</x:t>
  </x:si>
  <x:si>
    <x:t xml:space="preserve">EGOCIN CHICK</x:t>
  </x:si>
  <x:si>
    <x:t xml:space="preserve">DRY BLOCKS 5KG</x:t>
  </x:si>
  <x:si>
    <x:t xml:space="preserve">MINERAL BLOCKS 5KG</x:t>
  </x:si>
  <x:si>
    <x:t xml:space="preserve">AFYA BORA DRY COW 2KG</x:t>
  </x:si>
  <x:si>
    <x:t xml:space="preserve">MULTICURE 1 LITRE</x:t>
  </x:si>
  <x:si>
    <x:t xml:space="preserve">TRUVETS 20 KG</x:t>
  </x:si>
  <x:si>
    <x:t xml:space="preserve">FUGO DAIRY MEAL 50 KG</x:t>
  </x:si>
  <x:si>
    <x:t xml:space="preserve">25/06.2026</x:t>
  </x:si>
  <x:si>
    <x:t xml:space="preserve">MACLIK SUPER 20KG</x:t>
  </x:si>
  <x:si>
    <x:t xml:space="preserve">NILZAN PLUS 1LITRE</x:t>
  </x:si>
  <x:si>
    <x:t xml:space="preserve">SUPERMEC 100 ML</x:t>
  </x:si>
  <x:si>
    <x:t xml:space="preserve">PENECILLIIN 100ML</x:t>
  </x:si>
  <x:si>
    <x:t xml:space="preserve">CALF PENCILS 50KG</x:t>
  </x:si>
  <x:si>
    <x:t xml:space="preserve">DAIRY MEAL FUGO 50 KG</x:t>
  </x:si>
  <x:si>
    <x:t xml:space="preserve">STELADONE 250 ML</x:t>
  </x:si>
  <x:si>
    <x:t xml:space="preserve">RIDOMIL 40G</x:t>
  </x:si>
  <x:si>
    <x:t xml:space="preserve">AFYABORA STOCKLICK 20KG</x:t>
  </x:si>
  <x:si>
    <x:t xml:space="preserve">BESTPHOS MAZIWA 2OKG</x:t>
  </x:si>
  <x:si>
    <x:t xml:space="preserve">MULTI NPK 250G</x:t>
  </x:si>
  <x:si>
    <x:t xml:space="preserve">TRUVET 20 KG</x:t>
  </x:si>
  <x:si>
    <x:t xml:space="preserve">DRY BLOCK 2KG</x:t>
  </x:si>
  <x:si>
    <x:t xml:space="preserve">BALANCE B/F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</x:si>
</x:sst>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3" fontId="0" fillId="0" borderId="0" xfId="0" applyNumberFormat="1"/>
    <x:xf numFmtId="14" fontId="0" fillId="0" borderId="0" xfId="0" applyNumberFormat="1" applyAlignment="1">
      <x:alignment horizontal="center" vertical="top"/>
    </x:xf>
    <x:xf numFmtId="0" fontId="0" fillId="0" borderId="0" xfId="0" applyAlignment="1">
      <x:alignment horizontal="center" vertical="top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00a5ea0784ca5" /><Relationship Type="http://schemas.openxmlformats.org/officeDocument/2006/relationships/theme" Target="/xl/theme/theme1.xml" Id="R0b264f4eb00c4a81" /><Relationship Type="http://schemas.openxmlformats.org/officeDocument/2006/relationships/sharedStrings" Target="/xl/sharedStrings.xml" Id="Rdebfab76a7a34d4e" /><Relationship Type="http://schemas.openxmlformats.org/officeDocument/2006/relationships/worksheet" Target="/xl/worksheets/sheet1.xml" Id="R342a123434d24615" /><Relationship Type="http://schemas.openxmlformats.org/officeDocument/2006/relationships/worksheet" Target="/xl/worksheets/sheet2.xml" Id="R4f773f107f414e9c" /><Relationship Type="http://schemas.openxmlformats.org/officeDocument/2006/relationships/worksheet" Target="/xl/worksheets/sheet3.xml" Id="R0a62c4942709407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2.453125" customWidth="1"/>
    <x:col min="2" max="2" width="34.81640625" customWidth="1"/>
    <x:col min="3" max="3" width="13.7265625" customWidth="1"/>
    <x:col min="4" max="4" width="20.7265625" customWidth="1"/>
    <x:col min="5" max="5" width="16.453125" customWidth="1"/>
    <x:col min="6" max="6" width="14" customWidth="1"/>
    <x:col min="7" max="7" width="20.54296875" customWidth="1"/>
    <x:col min="8" max="8" width="16" hidden="0" customWidth="1"/>
  </x:cols>
  <x:sheetData>
    <x:row r="1" ht="21.7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G1" t="s">
        <x:v>5</x:v>
      </x:c>
      <x:c r="H1" s="6" t="str">
        <x:v>CATEGORY</x:v>
      </x:c>
    </x:row>
    <x:row r="2">
      <x:c r="A2" s="2">
        <x:v>46028</x:v>
      </x:c>
      <x:c r="B2" t="s">
        <x:v>6</x:v>
      </x:c>
      <x:c r="C2">
        <x:v>4</x:v>
      </x:c>
      <x:c r="D2">
        <x:v>600</x:v>
      </x:c>
      <x:c r="E2" t="n">
        <x:f>PRODUCT(C2,D2)</x:f>
        <x:v>2400</x:v>
      </x:c>
      <x:c r="H2" s="8" t="str">
        <x:v>feed</x:v>
      </x:c>
    </x:row>
    <x:row r="3">
      <x:c r="A3" s="3"/>
      <x:c r="B3" t="s">
        <x:v>7</x:v>
      </x:c>
      <x:c r="C3">
        <x:v>1</x:v>
      </x:c>
      <x:c r="D3">
        <x:v>550</x:v>
      </x:c>
      <x:c r="E3" t="n">
        <x:f t="shared" ref="E3:E7" si="0">PRODUCT(C3,D3)</x:f>
        <x:v>550</x:v>
      </x:c>
      <x:c r="H3" s="8" t="str">
        <x:v>feed</x:v>
      </x:c>
    </x:row>
    <x:row r="4">
      <x:c r="A4" s="3"/>
      <x:c r="B4" t="s">
        <x:v>8</x:v>
      </x:c>
      <x:c r="C4">
        <x:v>5</x:v>
      </x:c>
      <x:c r="D4">
        <x:v>150</x:v>
      </x:c>
      <x:c r="E4">
        <x:f t="shared" si="0"/>
        <x:v>750</x:v>
      </x:c>
      <x:c r="H4" s="8" t="str">
        <x:v>other</x:v>
      </x:c>
    </x:row>
    <x:row r="5">
      <x:c r="A5" s="3"/>
      <x:c r="B5" t="s">
        <x:v>9</x:v>
      </x:c>
      <x:c r="D5">
        <x:v>100</x:v>
      </x:c>
      <x:c r="E5">
        <x:f t="shared" si="0"/>
        <x:v>100</x:v>
      </x:c>
      <x:c r="H5" s="8" t="str">
        <x:v>transport</x:v>
      </x:c>
    </x:row>
    <x:row r="6">
      <x:c r="A6" s="3"/>
      <x:c r="B6" t="s">
        <x:v>10</x:v>
      </x:c>
      <x:c r="C6">
        <x:v>4</x:v>
      </x:c>
      <x:c r="D6">
        <x:v>150</x:v>
      </x:c>
      <x:c r="E6">
        <x:f t="shared" si="0"/>
        <x:v>600</x:v>
      </x:c>
      <x:c r="H6" s="8" t="str">
        <x:v>other</x:v>
      </x:c>
    </x:row>
    <x:row r="7">
      <x:c r="A7" s="3"/>
      <x:c r="B7" t="s">
        <x:v>11</x:v>
      </x:c>
      <x:c r="C7">
        <x:v>4</x:v>
      </x:c>
      <x:c r="D7">
        <x:v>650</x:v>
      </x:c>
      <x:c r="E7">
        <x:f t="shared" si="0"/>
        <x:v>2600</x:v>
      </x:c>
      <x:c r="H7" s="8" t="str">
        <x:v>feed</x:v>
      </x:c>
    </x:row>
    <x:row r="8">
      <x:c r="A8" s="3"/>
      <x:c r="H8" s="8"/>
    </x:row>
    <x:row r="9">
      <x:c r="A9" s="3"/>
      <x:c r="C9" t="s">
        <x:v>12</x:v>
      </x:c>
      <x:c r="D9" t="n">
        <x:f>SUM(E2,E3,E4,E5,E6,E7)</x:f>
        <x:v>7000</x:v>
      </x:c>
      <x:c r="G9">
        <x:v>7000</x:v>
      </x:c>
      <x:c r="H9" s="8"/>
    </x:row>
    <x:row r="10">
      <x:c r="H10" s="8"/>
    </x:row>
    <x:row r="11">
      <x:c r="A11" s="2">
        <x:v>46179</x:v>
      </x:c>
      <x:c r="B11" t="s">
        <x:v>13</x:v>
      </x:c>
      <x:c r="C11">
        <x:v>6</x:v>
      </x:c>
      <x:c r="D11">
        <x:v>2900</x:v>
      </x:c>
      <x:c r="E11" t="n">
        <x:f>PRODUCT(C11,D11)</x:f>
        <x:v>17400</x:v>
      </x:c>
      <x:c r="H11" s="8" t="str">
        <x:v>feed</x:v>
      </x:c>
    </x:row>
    <x:row r="12">
      <x:c r="A12" s="2"/>
      <x:c r="B12" t="s">
        <x:v>14</x:v>
      </x:c>
      <x:c r="C12">
        <x:v>3</x:v>
      </x:c>
      <x:c r="D12">
        <x:v>5500</x:v>
      </x:c>
      <x:c r="E12" t="n">
        <x:f t="shared" ref="E12:E14" si="1">PRODUCT(C12,D12)</x:f>
        <x:v>16500</x:v>
      </x:c>
      <x:c r="H12" s="8" t="str">
        <x:v>feed</x:v>
      </x:c>
    </x:row>
    <x:row r="13">
      <x:c r="A13" s="2"/>
      <x:c r="B13" t="s">
        <x:v>15</x:v>
      </x:c>
      <x:c r="C13">
        <x:v>1</x:v>
      </x:c>
      <x:c r="D13">
        <x:v>5050</x:v>
      </x:c>
      <x:c r="E13">
        <x:f t="shared" si="1"/>
        <x:v>5050</x:v>
      </x:c>
      <x:c r="H13" s="8" t="str">
        <x:v>feed</x:v>
      </x:c>
    </x:row>
    <x:row r="14">
      <x:c r="A14" s="2"/>
      <x:c r="B14" t="s">
        <x:v>9</x:v>
      </x:c>
      <x:c r="D14">
        <x:v>300</x:v>
      </x:c>
      <x:c r="E14">
        <x:f t="shared" si="1"/>
        <x:v>300</x:v>
      </x:c>
      <x:c r="H14" s="8" t="str">
        <x:v>transport</x:v>
      </x:c>
    </x:row>
    <x:row r="15">
      <x:c r="A15" s="2"/>
      <x:c r="H15" s="8"/>
    </x:row>
    <x:row r="16">
      <x:c r="A16" s="2"/>
      <x:c r="C16" t="s">
        <x:v>12</x:v>
      </x:c>
      <x:c r="D16" t="n">
        <x:f>SUM(E11,E12,E13,E14)</x:f>
        <x:v>39250</x:v>
      </x:c>
      <x:c r="G16" t="n">
        <x:f>SUM(G9,D16)</x:f>
        <x:v>46250</x:v>
      </x:c>
      <x:c r="H16" s="8"/>
    </x:row>
    <x:row r="17">
      <x:c r="H17" s="8"/>
    </x:row>
    <x:row r="18">
      <x:c r="A18" s="2">
        <x:v>46183</x:v>
      </x:c>
      <x:c r="B18" t="s">
        <x:v>16</x:v>
      </x:c>
      <x:c r="C18">
        <x:v>1</x:v>
      </x:c>
      <x:c r="D18">
        <x:v>1550</x:v>
      </x:c>
      <x:c r="E18" t="n">
        <x:f>PRODUCT(D18,C18)</x:f>
        <x:v>1550</x:v>
      </x:c>
      <x:c r="G18" t="n">
        <x:f>SUM(G16,E18)</x:f>
        <x:v>47800</x:v>
      </x:c>
      <x:c r="H18" s="8" t="str">
        <x:v>feed</x:v>
      </x:c>
    </x:row>
    <x:row r="19">
      <x:c r="A19" s="2"/>
      <x:c r="F19" t="s">
        <x:v>17</x:v>
      </x:c>
      <x:c r="G19" s="1">
        <x:v>20000</x:v>
      </x:c>
      <x:c r="H19" s="8"/>
    </x:row>
    <x:row r="20">
      <x:c r="A20" s="2"/>
      <x:c r="F20" t="s">
        <x:v>18</x:v>
      </x:c>
      <x:c r="G20">
        <x:v>27800</x:v>
      </x:c>
      <x:c r="H20" s="8"/>
    </x:row>
    <x:row r="21">
      <x:c r="A21" s="2"/>
      <x:c r="H21" s="8"/>
    </x:row>
    <x:row r="22">
      <x:c r="A22" s="2">
        <x:v>46185</x:v>
      </x:c>
      <x:c r="B22" t="s">
        <x:v>13</x:v>
      </x:c>
      <x:c r="C22">
        <x:v>6</x:v>
      </x:c>
      <x:c r="D22">
        <x:v>2900</x:v>
      </x:c>
      <x:c r="E22" t="n">
        <x:f>PRODUCT(C22,D22)</x:f>
        <x:v>17400</x:v>
      </x:c>
      <x:c r="H22" s="8" t="str">
        <x:v>feed</x:v>
      </x:c>
    </x:row>
    <x:row r="23">
      <x:c r="A23" s="2"/>
      <x:c r="B23" t="s">
        <x:v>19</x:v>
      </x:c>
      <x:c r="C23">
        <x:v>1</x:v>
      </x:c>
      <x:c r="D23">
        <x:v>5500</x:v>
      </x:c>
      <x:c r="E23" t="n">
        <x:f t="shared" ref="E23:E25" si="2">PRODUCT(C23,D23)</x:f>
        <x:v>5500</x:v>
      </x:c>
      <x:c r="H23" s="8" t="str">
        <x:v>feed</x:v>
      </x:c>
    </x:row>
    <x:row r="24">
      <x:c r="A24" s="2"/>
      <x:c r="B24" t="s">
        <x:v>20</x:v>
      </x:c>
      <x:c r="C24">
        <x:v>1</x:v>
      </x:c>
      <x:c r="D24">
        <x:v>1700</x:v>
      </x:c>
      <x:c r="E24">
        <x:f t="shared" si="2"/>
        <x:v>1700</x:v>
      </x:c>
      <x:c r="H24" s="8" t="str">
        <x:v>feed</x:v>
      </x:c>
    </x:row>
    <x:row r="25">
      <x:c r="A25" s="2"/>
      <x:c r="B25" t="s">
        <x:v>9</x:v>
      </x:c>
      <x:c r="D25">
        <x:v>400</x:v>
      </x:c>
      <x:c r="E25">
        <x:f t="shared" si="2"/>
        <x:v>400</x:v>
      </x:c>
      <x:c r="H25" s="8" t="str">
        <x:v>transport</x:v>
      </x:c>
    </x:row>
    <x:row r="26">
      <x:c r="A26" s="2"/>
      <x:c r="H26" s="8"/>
    </x:row>
    <x:row r="27">
      <x:c r="A27" s="2"/>
      <x:c r="C27" t="s">
        <x:v>12</x:v>
      </x:c>
      <x:c r="D27" t="n">
        <x:f>SUM(E22,E23,E24,E25)</x:f>
        <x:v>25000</x:v>
      </x:c>
      <x:c r="G27" t="n">
        <x:f>SUM(G20,D27)</x:f>
        <x:v>52800</x:v>
      </x:c>
      <x:c r="H27" s="8"/>
    </x:row>
    <x:row r="28">
      <x:c r="A28" s="2"/>
      <x:c r="F28" t="s">
        <x:v>17</x:v>
      </x:c>
      <x:c r="G28" s="1">
        <x:v>40000</x:v>
      </x:c>
      <x:c r="H28" s="8"/>
    </x:row>
    <x:row r="29">
      <x:c r="A29" s="2"/>
      <x:c r="F29" t="s">
        <x:v>18</x:v>
      </x:c>
      <x:c r="G29" s="1">
        <x:v>12800</x:v>
      </x:c>
      <x:c r="H29" s="8"/>
    </x:row>
    <x:row r="30">
      <x:c r="A30" s="2"/>
      <x:c r="H30" s="8"/>
    </x:row>
    <x:row r="31">
      <x:c r="A31" s="2">
        <x:v>46188</x:v>
      </x:c>
      <x:c r="B31" t="s">
        <x:v>21</x:v>
      </x:c>
      <x:c r="C31">
        <x:v>2</x:v>
      </x:c>
      <x:c r="D31">
        <x:v>2900</x:v>
      </x:c>
      <x:c r="E31" t="n">
        <x:f>PRODUCT(C31,D31)</x:f>
        <x:v>5800</x:v>
      </x:c>
      <x:c r="H31" s="8" t="str">
        <x:v>feed</x:v>
      </x:c>
    </x:row>
    <x:row r="32">
      <x:c r="A32" s="2"/>
      <x:c r="B32" t="s">
        <x:v>9</x:v>
      </x:c>
      <x:c r="D32">
        <x:v>100</x:v>
      </x:c>
      <x:c r="E32" t="n">
        <x:f>PRODUCT(C32,D32)</x:f>
        <x:v>100</x:v>
      </x:c>
      <x:c r="H32" s="8" t="str">
        <x:v>transport</x:v>
      </x:c>
    </x:row>
    <x:row r="33">
      <x:c r="A33" s="2"/>
      <x:c r="H33" s="8"/>
    </x:row>
    <x:row r="34">
      <x:c r="A34" s="2"/>
      <x:c r="C34" t="s">
        <x:v>12</x:v>
      </x:c>
      <x:c r="D34" t="n">
        <x:f>SUM(E31,E32)</x:f>
        <x:v>5900</x:v>
      </x:c>
      <x:c r="G34" s="1" t="n">
        <x:f>SUM(G29,D34)</x:f>
        <x:v>18700</x:v>
      </x:c>
      <x:c r="H34" s="8"/>
    </x:row>
    <x:row r="35">
      <x:c r="A35" s="2"/>
      <x:c r="H35" s="8"/>
    </x:row>
    <x:row r="36">
      <x:c r="A36" s="3" t="s">
        <x:v>22</x:v>
      </x:c>
      <x:c r="B36" t="s">
        <x:v>23</x:v>
      </x:c>
      <x:c r="C36">
        <x:v>3</x:v>
      </x:c>
      <x:c r="D36">
        <x:v>100</x:v>
      </x:c>
      <x:c r="E36" t="n">
        <x:f>PRODUCT(D36,C36)</x:f>
        <x:v>300</x:v>
      </x:c>
      <x:c r="H36" s="8" t="str">
        <x:v>feed</x:v>
      </x:c>
    </x:row>
    <x:row r="37">
      <x:c r="A37" s="3"/>
      <x:c r="B37" t="s">
        <x:v>24</x:v>
      </x:c>
      <x:c r="C37">
        <x:v>1</x:v>
      </x:c>
      <x:c r="D37">
        <x:v>100</x:v>
      </x:c>
      <x:c r="E37" t="n">
        <x:f>PRODUCT(D37,C37)</x:f>
        <x:v>100</x:v>
      </x:c>
      <x:c r="H37" s="8" t="str">
        <x:v>other</x:v>
      </x:c>
    </x:row>
    <x:row r="38">
      <x:c r="A38" s="3"/>
      <x:c r="H38" s="8"/>
    </x:row>
    <x:row r="39">
      <x:c r="A39" s="3"/>
      <x:c r="C39" t="s">
        <x:v>12</x:v>
      </x:c>
      <x:c r="D39" t="n">
        <x:f>SUM(E36,E37)</x:f>
        <x:v>400</x:v>
      </x:c>
      <x:c r="G39" s="1" t="n">
        <x:f>SUM(G34,D39)</x:f>
        <x:v>19100</x:v>
      </x:c>
      <x:c r="H39" s="8"/>
    </x:row>
    <x:row r="40">
      <x:c r="H40" s="8"/>
    </x:row>
    <x:row r="41">
      <x:c r="A41" s="2">
        <x:v>46191</x:v>
      </x:c>
      <x:c r="B41" t="s">
        <x:v>25</x:v>
      </x:c>
      <x:c r="C41">
        <x:v>5</x:v>
      </x:c>
      <x:c r="D41">
        <x:v>600</x:v>
      </x:c>
      <x:c r="E41" t="n">
        <x:f>PRODUCT(D41,C41)</x:f>
        <x:v>3000</x:v>
      </x:c>
      <x:c r="H41" s="8" t="str">
        <x:v>feed</x:v>
      </x:c>
    </x:row>
    <x:row r="42">
      <x:c r="A42" s="2"/>
      <x:c r="B42" t="s">
        <x:v>26</x:v>
      </x:c>
      <x:c r="C42">
        <x:v>6</x:v>
      </x:c>
      <x:c r="D42">
        <x:v>600</x:v>
      </x:c>
      <x:c r="E42" t="n">
        <x:f t="shared" ref="E42:E45" si="3">PRODUCT(D42,C42)</x:f>
        <x:v>3600</x:v>
      </x:c>
      <x:c r="H42" s="8" t="str">
        <x:v>feed</x:v>
      </x:c>
    </x:row>
    <x:row r="43">
      <x:c r="A43" s="2"/>
      <x:c r="B43" t="s">
        <x:v>27</x:v>
      </x:c>
      <x:c r="C43">
        <x:v>3</x:v>
      </x:c>
      <x:c r="D43">
        <x:v>500</x:v>
      </x:c>
      <x:c r="E43">
        <x:f t="shared" si="3"/>
        <x:v>1500</x:v>
      </x:c>
      <x:c r="H43" s="8" t="str">
        <x:v>feed</x:v>
      </x:c>
    </x:row>
    <x:row r="44">
      <x:c r="A44" s="2"/>
      <x:c r="B44" t="s">
        <x:v>28</x:v>
      </x:c>
      <x:c r="C44">
        <x:v>4</x:v>
      </x:c>
      <x:c r="D44">
        <x:v>1250</x:v>
      </x:c>
      <x:c r="E44">
        <x:f t="shared" si="3"/>
        <x:v>5000</x:v>
      </x:c>
      <x:c r="H44" s="8" t="str">
        <x:v>vet</x:v>
      </x:c>
    </x:row>
    <x:row r="45">
      <x:c r="A45" s="2"/>
      <x:c r="B45" t="s">
        <x:v>9</x:v>
      </x:c>
      <x:c r="D45">
        <x:v>150</x:v>
      </x:c>
      <x:c r="E45">
        <x:f t="shared" si="3"/>
        <x:v>150</x:v>
      </x:c>
      <x:c r="H45" s="8" t="str">
        <x:v>transport</x:v>
      </x:c>
    </x:row>
    <x:row r="46">
      <x:c r="A46" s="2"/>
      <x:c r="H46" s="8"/>
    </x:row>
    <x:row r="47">
      <x:c r="A47" s="2"/>
      <x:c r="C47" t="s">
        <x:v>12</x:v>
      </x:c>
      <x:c r="D47" t="n">
        <x:f>SUM(E41,E42,E43,E44,E45,)</x:f>
        <x:v>13250</x:v>
      </x:c>
      <x:c r="G47" s="1" t="n">
        <x:f>SUM(G39,D47)</x:f>
        <x:v>32350</x:v>
      </x:c>
      <x:c r="H47" s="8"/>
    </x:row>
    <x:row r="48">
      <x:c r="H48" s="8"/>
    </x:row>
    <x:row r="49">
      <x:c r="A49" s="2">
        <x:v>46193</x:v>
      </x:c>
      <x:c r="B49" t="s">
        <x:v>13</x:v>
      </x:c>
      <x:c r="C49">
        <x:v>6</x:v>
      </x:c>
      <x:c r="D49">
        <x:v>2900</x:v>
      </x:c>
      <x:c r="E49" t="n">
        <x:f>PRODUCT(D49,C49)</x:f>
        <x:v>17400</x:v>
      </x:c>
      <x:c r="H49" s="8" t="str">
        <x:v>feed</x:v>
      </x:c>
    </x:row>
    <x:row r="50">
      <x:c r="A50" s="2"/>
      <x:c r="B50" t="s">
        <x:v>19</x:v>
      </x:c>
      <x:c r="C50">
        <x:v>1</x:v>
      </x:c>
      <x:c r="D50">
        <x:v>5500</x:v>
      </x:c>
      <x:c r="E50" t="n">
        <x:f t="shared" ref="E50:E52" si="4">PRODUCT(D50,C50)</x:f>
        <x:v>5500</x:v>
      </x:c>
      <x:c r="H50" s="8" t="str">
        <x:v>feed</x:v>
      </x:c>
    </x:row>
    <x:row r="51">
      <x:c r="A51" s="2"/>
      <x:c r="B51" t="s">
        <x:v>29</x:v>
      </x:c>
      <x:c r="C51">
        <x:v>1</x:v>
      </x:c>
      <x:c r="D51">
        <x:v>1700</x:v>
      </x:c>
      <x:c r="E51">
        <x:f t="shared" si="4"/>
        <x:v>1700</x:v>
      </x:c>
      <x:c r="H51" s="8" t="str">
        <x:v>feed</x:v>
      </x:c>
    </x:row>
    <x:row r="52">
      <x:c r="A52" s="2"/>
      <x:c r="B52" t="s">
        <x:v>9</x:v>
      </x:c>
      <x:c r="D52">
        <x:v>400</x:v>
      </x:c>
      <x:c r="E52">
        <x:f t="shared" si="4"/>
        <x:v>400</x:v>
      </x:c>
      <x:c r="H52" s="8" t="str">
        <x:v>transport</x:v>
      </x:c>
    </x:row>
    <x:row r="53">
      <x:c r="A53" s="2"/>
      <x:c r="H53" s="8"/>
    </x:row>
    <x:row r="54">
      <x:c r="A54" s="2"/>
      <x:c r="C54" t="s">
        <x:v>12</x:v>
      </x:c>
      <x:c r="D54" t="n">
        <x:f>SUM(E49,E50,E51,E52)</x:f>
        <x:v>25000</x:v>
      </x:c>
      <x:c r="G54" s="1" t="n">
        <x:f>SUM(G47,D54)</x:f>
        <x:v>57350</x:v>
      </x:c>
      <x:c r="H54" s="8"/>
    </x:row>
    <x:row r="55">
      <x:c r="A55" s="2"/>
      <x:c r="H55" s="8"/>
    </x:row>
    <x:row r="56">
      <x:c r="A56" s="2">
        <x:v>46196</x:v>
      </x:c>
      <x:c r="B56" t="s">
        <x:v>7</x:v>
      </x:c>
      <x:c r="C56">
        <x:v>1</x:v>
      </x:c>
      <x:c r="D56">
        <x:v>550</x:v>
      </x:c>
      <x:c r="E56" t="n">
        <x:f>PRODUCT(D56,C56)</x:f>
        <x:v>550</x:v>
      </x:c>
      <x:c r="H56" s="8" t="str">
        <x:v>feed</x:v>
      </x:c>
    </x:row>
    <x:row r="57">
      <x:c r="A57" s="2"/>
      <x:c r="B57" t="s">
        <x:v>30</x:v>
      </x:c>
      <x:c r="C57">
        <x:v>1</x:v>
      </x:c>
      <x:c r="D57">
        <x:v>2900</x:v>
      </x:c>
      <x:c r="E57" t="n">
        <x:f>PRODUCT(D57,C57)</x:f>
        <x:v>2900</x:v>
      </x:c>
      <x:c r="H57" s="8" t="str">
        <x:v>feed</x:v>
      </x:c>
    </x:row>
    <x:row r="58">
      <x:c r="A58" s="2"/>
      <x:c r="H58" s="8"/>
    </x:row>
    <x:row r="59">
      <x:c r="A59" s="2"/>
      <x:c r="C59" t="s">
        <x:v>12</x:v>
      </x:c>
      <x:c r="D59">
        <x:v>3450</x:v>
      </x:c>
      <x:c r="G59" s="1" t="n">
        <x:f>SUM(G54,C59)</x:f>
        <x:v>57350</x:v>
      </x:c>
      <x:c r="H59" s="8"/>
    </x:row>
    <x:row r="60">
      <x:c r="A60" s="2"/>
      <x:c r="H60" s="8"/>
    </x:row>
    <x:row r="61">
      <x:c r="A61" s="3" t="s">
        <x:v>31</x:v>
      </x:c>
      <x:c r="B61" t="s">
        <x:v>13</x:v>
      </x:c>
      <x:c r="C61">
        <x:v>6</x:v>
      </x:c>
      <x:c r="D61">
        <x:v>2900</x:v>
      </x:c>
      <x:c r="E61" t="n">
        <x:f>PRODUCT(D61,C61)</x:f>
        <x:v>17400</x:v>
      </x:c>
      <x:c r="H61" s="8" t="str">
        <x:v>feed</x:v>
      </x:c>
    </x:row>
    <x:row r="62">
      <x:c r="A62" s="3"/>
      <x:c r="B62" t="s">
        <x:v>32</x:v>
      </x:c>
      <x:c r="C62">
        <x:v>1</x:v>
      </x:c>
      <x:c r="D62">
        <x:v>5200</x:v>
      </x:c>
      <x:c r="E62" t="n">
        <x:f t="shared" ref="E62:E64" si="5">PRODUCT(D62,C62)</x:f>
        <x:v>5200</x:v>
      </x:c>
      <x:c r="H62" s="8" t="str">
        <x:v>feed</x:v>
      </x:c>
    </x:row>
    <x:row r="63">
      <x:c r="A63" s="3"/>
      <x:c r="B63" t="s">
        <x:v>19</x:v>
      </x:c>
      <x:c r="C63">
        <x:v>2</x:v>
      </x:c>
      <x:c r="D63">
        <x:v>5500</x:v>
      </x:c>
      <x:c r="E63">
        <x:f t="shared" si="5"/>
        <x:v>11000</x:v>
      </x:c>
      <x:c r="H63" s="8" t="str">
        <x:v>feed</x:v>
      </x:c>
    </x:row>
    <x:row r="64">
      <x:c r="A64" s="3"/>
      <x:c r="B64" t="s">
        <x:v>9</x:v>
      </x:c>
      <x:c r="D64">
        <x:v>400</x:v>
      </x:c>
      <x:c r="E64">
        <x:f t="shared" si="5"/>
        <x:v>400</x:v>
      </x:c>
      <x:c r="H64" s="8" t="str">
        <x:v>transport</x:v>
      </x:c>
    </x:row>
    <x:row r="65">
      <x:c r="A65" s="3"/>
      <x:c r="H65" s="8"/>
    </x:row>
    <x:row r="66">
      <x:c r="A66" s="3"/>
      <x:c r="C66" t="s">
        <x:v>12</x:v>
      </x:c>
      <x:c r="D66" t="n">
        <x:f>SUM(E61,E62,E63,E64)</x:f>
        <x:v>34000</x:v>
      </x:c>
      <x:c r="G66" s="1" t="n">
        <x:f>SUM(G59,D66)</x:f>
        <x:v>91350</x:v>
      </x:c>
      <x:c r="H66" s="8"/>
    </x:row>
    <x:row r="67">
      <x:c r="A67" s="3"/>
      <x:c r="F67" t="s">
        <x:v>17</x:v>
      </x:c>
      <x:c r="G67">
        <x:v>60000</x:v>
      </x:c>
      <x:c r="H67" s="8"/>
    </x:row>
    <x:row r="68">
      <x:c r="A68" s="3"/>
      <x:c r="F68" t="s">
        <x:v>18</x:v>
      </x:c>
      <x:c r="G68" s="1">
        <x:v>31350</x:v>
      </x:c>
      <x:c r="H68" s="8"/>
    </x:row>
    <x:row r="69">
      <x:c r="H69" s="8"/>
    </x:row>
    <x:row r="70">
      <x:c r="B70" t="s">
        <x:v>13</x:v>
      </x:c>
      <x:c r="C70">
        <x:v>2</x:v>
      </x:c>
      <x:c r="D70">
        <x:v>2900</x:v>
      </x:c>
      <x:c r="E70" t="n">
        <x:f>PRODUCT(D70,C70)</x:f>
        <x:v>5800</x:v>
      </x:c>
      <x:c r="H70" s="8" t="str">
        <x:v>feed</x:v>
      </x:c>
    </x:row>
    <x:row r="71">
      <x:c r="A71" s="2">
        <x:v>46200</x:v>
      </x:c>
      <x:c r="B71" t="s">
        <x:v>9</x:v>
      </x:c>
      <x:c r="D71">
        <x:v>100</x:v>
      </x:c>
      <x:c r="E71" t="n">
        <x:f>PRODUCT(D71,C71)</x:f>
        <x:v>100</x:v>
      </x:c>
      <x:c r="H71" s="8" t="str">
        <x:v>transport</x:v>
      </x:c>
    </x:row>
    <x:row r="72">
      <x:c r="A72" s="2"/>
      <x:c r="H72" s="8"/>
    </x:row>
    <x:row r="73">
      <x:c r="A73" s="2"/>
      <x:c r="C73" t="s">
        <x:v>12</x:v>
      </x:c>
      <x:c r="D73" t="n">
        <x:f>SUM(E70,E71)</x:f>
        <x:v>5900</x:v>
      </x:c>
      <x:c r="G73" s="1" t="n">
        <x:f>SUM(G68,D73)</x:f>
        <x:v>37250</x:v>
      </x:c>
      <x:c r="H73" s="8"/>
    </x:row>
    <x:row r="74">
      <x:c r="A74" s="2"/>
      <x:c r="F74" t="s">
        <x:v>17</x:v>
      </x:c>
      <x:c r="G74">
        <x:v>26000</x:v>
      </x:c>
      <x:c r="H74" s="8"/>
    </x:row>
    <x:row r="75">
      <x:c r="A75" s="2"/>
      <x:c r="F75" t="s">
        <x:v>18</x:v>
      </x:c>
      <x:c r="G75">
        <x:v>11250</x:v>
      </x:c>
      <x:c r="H75" s="8"/>
    </x:row>
    <x:row r="76">
      <x:c r="A76" s="2"/>
      <x:c r="H76" s="8"/>
    </x:row>
    <x:row r="77">
      <x:c r="A77" s="2">
        <x:v>46204</x:v>
      </x:c>
      <x:c r="B77" t="s">
        <x:v>33</x:v>
      </x:c>
      <x:c r="C77">
        <x:v>1</x:v>
      </x:c>
      <x:c r="D77">
        <x:v>1800</x:v>
      </x:c>
      <x:c r="E77">
        <x:v>1800</x:v>
      </x:c>
      <x:c r="H77" s="8" t="str">
        <x:v>vet</x:v>
      </x:c>
    </x:row>
    <x:row r="78">
      <x:c r="A78" s="2"/>
      <x:c r="B78" t="s">
        <x:v>34</x:v>
      </x:c>
      <x:c r="C78">
        <x:v>1</x:v>
      </x:c>
      <x:c r="D78">
        <x:v>600</x:v>
      </x:c>
      <x:c r="E78">
        <x:v>600</x:v>
      </x:c>
      <x:c r="H78" s="8" t="str">
        <x:v>vet</x:v>
      </x:c>
    </x:row>
    <x:row r="79">
      <x:c r="A79" s="2"/>
      <x:c r="B79" t="s">
        <x:v>9</x:v>
      </x:c>
      <x:c r="D79">
        <x:v>100</x:v>
      </x:c>
      <x:c r="E79">
        <x:v>100</x:v>
      </x:c>
      <x:c r="H79" s="8" t="str">
        <x:v>transport</x:v>
      </x:c>
    </x:row>
    <x:row r="80">
      <x:c r="A80" s="2"/>
      <x:c r="H80" s="8"/>
    </x:row>
    <x:row r="81">
      <x:c r="A81" s="2"/>
      <x:c r="C81" t="s">
        <x:v>12</x:v>
      </x:c>
      <x:c r="D81" t="n">
        <x:f>SUM(E77,E78,E79)</x:f>
        <x:v>2500</x:v>
      </x:c>
      <x:c r="G81" t="n">
        <x:f>SUM(G75,D81)</x:f>
        <x:v>13750</x:v>
      </x:c>
      <x:c r="H81" s="8"/>
    </x:row>
    <x:row r="82">
      <x:c r="A82" s="2"/>
      <x:c r="H82" s="8"/>
    </x:row>
    <x:row r="83">
      <x:c r="A83" s="2">
        <x:v>46206</x:v>
      </x:c>
      <x:c r="B83" t="s">
        <x:v>13</x:v>
      </x:c>
      <x:c r="C83">
        <x:v>6</x:v>
      </x:c>
      <x:c r="D83">
        <x:v>2900</x:v>
      </x:c>
      <x:c r="E83" t="n">
        <x:f>PRODUCT(D83,C83)</x:f>
        <x:v>17400</x:v>
      </x:c>
      <x:c r="H83" s="8" t="str">
        <x:v>feed</x:v>
      </x:c>
    </x:row>
    <x:row r="84">
      <x:c r="A84" s="2"/>
      <x:c r="B84" t="s">
        <x:v>9</x:v>
      </x:c>
      <x:c r="D84">
        <x:v>300</x:v>
      </x:c>
      <x:c r="E84" t="n">
        <x:f>PRODUCT(D84,C84)</x:f>
        <x:v>300</x:v>
      </x:c>
      <x:c r="H84" s="8" t="str">
        <x:v>transport</x:v>
      </x:c>
    </x:row>
    <x:row r="85">
      <x:c r="A85" s="2"/>
      <x:c r="H85" s="8"/>
    </x:row>
    <x:row r="86">
      <x:c r="A86" s="2"/>
      <x:c r="C86" t="s">
        <x:v>12</x:v>
      </x:c>
      <x:c r="D86" t="n">
        <x:f>SUM(E83,E84)</x:f>
        <x:v>17700</x:v>
      </x:c>
      <x:c r="G86" t="n">
        <x:f>SUM(G81,D86)</x:f>
        <x:v>31450</x:v>
      </x:c>
      <x:c r="H86" s="8"/>
    </x:row>
    <x:row r="87">
      <x:c r="H87" s="8"/>
    </x:row>
    <x:row r="88">
      <x:c r="A88" s="2">
        <x:v>46207</x:v>
      </x:c>
      <x:c r="B88" t="s">
        <x:v>35</x:v>
      </x:c>
      <x:c r="C88">
        <x:v>1</x:v>
      </x:c>
      <x:c r="D88">
        <x:v>450</x:v>
      </x:c>
      <x:c r="E88" t="n">
        <x:f>PRODUCT(D88,C88)</x:f>
        <x:v>450</x:v>
      </x:c>
      <x:c r="H88" s="8" t="str">
        <x:v>vet</x:v>
      </x:c>
    </x:row>
    <x:row r="89">
      <x:c r="A89" s="2"/>
      <x:c r="B89" t="s">
        <x:v>13</x:v>
      </x:c>
      <x:c r="C89">
        <x:v>2</x:v>
      </x:c>
      <x:c r="D89">
        <x:v>2900</x:v>
      </x:c>
      <x:c r="E89" t="n">
        <x:f>PRODUCT(D89,C89)</x:f>
        <x:v>5800</x:v>
      </x:c>
      <x:c r="H89" s="8" t="str">
        <x:v>feed</x:v>
      </x:c>
    </x:row>
    <x:row r="90">
      <x:c r="A90" s="2"/>
      <x:c r="H90" s="8"/>
    </x:row>
    <x:row r="91">
      <x:c r="A91" s="2"/>
      <x:c r="C91" t="s">
        <x:v>12</x:v>
      </x:c>
      <x:c r="D91" t="n">
        <x:f>SUM(E88,E89)</x:f>
        <x:v>6250</x:v>
      </x:c>
      <x:c r="G91" t="n">
        <x:f>SUM(G86,D91)</x:f>
        <x:v>37700</x:v>
      </x:c>
      <x:c r="H91" s="8"/>
    </x:row>
    <x:row r="92">
      <x:c r="A92" s="2"/>
      <x:c r="H92" s="8"/>
    </x:row>
    <x:row r="93">
      <x:c r="A93" s="2">
        <x:v>46210</x:v>
      </x:c>
      <x:c r="B93" t="s">
        <x:v>36</x:v>
      </x:c>
      <x:c r="C93">
        <x:v>1</x:v>
      </x:c>
      <x:c r="D93">
        <x:v>9000</x:v>
      </x:c>
      <x:c r="E93" t="n">
        <x:f>PRODUCT(D93,C93)</x:f>
        <x:v>9000</x:v>
      </x:c>
      <x:c r="H93" s="8" t="str">
        <x:v>feed</x:v>
      </x:c>
    </x:row>
    <x:row r="94">
      <x:c r="A94" s="2"/>
      <x:c r="B94" t="s">
        <x:v>37</x:v>
      </x:c>
      <x:c r="C94">
        <x:v>3</x:v>
      </x:c>
      <x:c r="D94">
        <x:v>2900</x:v>
      </x:c>
      <x:c r="E94" t="n">
        <x:f t="shared" ref="E94:E95" si="6">PRODUCT(D94,C94)</x:f>
        <x:v>8700</x:v>
      </x:c>
      <x:c r="H94" s="8" t="str">
        <x:v>feed</x:v>
      </x:c>
    </x:row>
    <x:row r="95">
      <x:c r="A95" s="2"/>
      <x:c r="B95" t="s">
        <x:v>9</x:v>
      </x:c>
      <x:c r="D95">
        <x:v>200</x:v>
      </x:c>
      <x:c r="E95">
        <x:f t="shared" si="6"/>
        <x:v>200</x:v>
      </x:c>
      <x:c r="H95" s="8" t="str">
        <x:v>transport</x:v>
      </x:c>
    </x:row>
    <x:row r="96">
      <x:c r="A96" s="2"/>
      <x:c r="C96" t="s">
        <x:v>12</x:v>
      </x:c>
      <x:c r="D96" t="n">
        <x:f>SUM(E93,E94,E95)</x:f>
        <x:v>17900</x:v>
      </x:c>
      <x:c r="G96" t="n">
        <x:f>SUM(G91,D96)</x:f>
        <x:v>55600</x:v>
      </x:c>
      <x:c r="H96" s="8"/>
    </x:row>
    <x:row r="97">
      <x:c r="A97" s="2"/>
      <x:c r="F97" t="s">
        <x:v>17</x:v>
      </x:c>
      <x:c r="G97">
        <x:v>40000</x:v>
      </x:c>
      <x:c r="H97" s="8"/>
    </x:row>
    <x:row r="98">
      <x:c r="A98" s="2"/>
      <x:c r="F98" t="s">
        <x:v>18</x:v>
      </x:c>
      <x:c r="G98">
        <x:v>15600</x:v>
      </x:c>
      <x:c r="H98" s="8"/>
    </x:row>
    <x:row r="99">
      <x:c r="A99" s="2"/>
      <x:c r="H99" s="8"/>
    </x:row>
    <x:row r="100">
      <x:c r="A100" s="2">
        <x:v>46214</x:v>
      </x:c>
      <x:c r="B100" t="s">
        <x:v>13</x:v>
      </x:c>
      <x:c r="C100">
        <x:v>7</x:v>
      </x:c>
      <x:c r="D100">
        <x:v>2900</x:v>
      </x:c>
      <x:c r="E100" t="n">
        <x:f>PRODUCT(D100,C100)</x:f>
        <x:v>20300</x:v>
      </x:c>
      <x:c r="H100" s="8" t="str">
        <x:v>feed</x:v>
      </x:c>
    </x:row>
    <x:row r="101">
      <x:c r="A101" s="2"/>
      <x:c r="B101" t="s">
        <x:v>38</x:v>
      </x:c>
      <x:c r="C101">
        <x:v>1</x:v>
      </x:c>
      <x:c r="D101">
        <x:v>1350</x:v>
      </x:c>
      <x:c r="E101" t="n">
        <x:f t="shared" ref="E101:E106" si="7">PRODUCT(D101,C101)</x:f>
        <x:v>1350</x:v>
      </x:c>
      <x:c r="H101" s="8" t="str">
        <x:v>other</x:v>
      </x:c>
    </x:row>
    <x:row r="102">
      <x:c r="A102" s="2"/>
      <x:c r="B102" t="s">
        <x:v>39</x:v>
      </x:c>
      <x:c r="C102">
        <x:v>2</x:v>
      </x:c>
      <x:c r="D102">
        <x:v>250</x:v>
      </x:c>
      <x:c r="E102">
        <x:f t="shared" si="7"/>
        <x:v>500</x:v>
      </x:c>
      <x:c r="H102" s="8" t="str">
        <x:v>other</x:v>
      </x:c>
    </x:row>
    <x:row r="103">
      <x:c r="A103" s="2"/>
      <x:c r="B103" t="s">
        <x:v>40</x:v>
      </x:c>
      <x:c r="C103">
        <x:v>1</x:v>
      </x:c>
      <x:c r="D103">
        <x:v>1350</x:v>
      </x:c>
      <x:c r="E103">
        <x:f t="shared" si="7"/>
        <x:v>1350</x:v>
      </x:c>
      <x:c r="H103" s="8" t="str">
        <x:v>feed</x:v>
      </x:c>
    </x:row>
    <x:row r="104">
      <x:c r="A104" s="2"/>
      <x:c r="B104" t="s">
        <x:v>41</x:v>
      </x:c>
      <x:c r="C104">
        <x:v>1</x:v>
      </x:c>
      <x:c r="D104">
        <x:v>1600</x:v>
      </x:c>
      <x:c r="E104">
        <x:f t="shared" si="7"/>
        <x:v>1600</x:v>
      </x:c>
      <x:c r="H104" s="8" t="str">
        <x:v>feed</x:v>
      </x:c>
    </x:row>
    <x:row r="105">
      <x:c r="A105" s="2"/>
      <x:c r="B105" t="s">
        <x:v>42</x:v>
      </x:c>
      <x:c r="C105">
        <x:v>1</x:v>
      </x:c>
      <x:c r="D105">
        <x:v>300</x:v>
      </x:c>
      <x:c r="E105">
        <x:f t="shared" si="7"/>
        <x:v>300</x:v>
      </x:c>
      <x:c r="H105" s="8" t="str">
        <x:v>other</x:v>
      </x:c>
    </x:row>
    <x:row r="106">
      <x:c r="A106" s="2"/>
      <x:c r="B106" t="s">
        <x:v>9</x:v>
      </x:c>
      <x:c r="D106">
        <x:v>500</x:v>
      </x:c>
      <x:c r="E106">
        <x:f t="shared" si="7"/>
        <x:v>500</x:v>
      </x:c>
      <x:c r="H106" s="8" t="str">
        <x:v>transport</x:v>
      </x:c>
    </x:row>
    <x:row r="107">
      <x:c r="A107" s="2"/>
      <x:c r="H107" s="8"/>
    </x:row>
    <x:row r="108">
      <x:c r="A108" s="2"/>
      <x:c r="C108" t="s">
        <x:v>12</x:v>
      </x:c>
      <x:c r="D108" t="n">
        <x:f>SUM(E100,E101,E102,E103,E104,E105,E106)</x:f>
        <x:v>25900</x:v>
      </x:c>
      <x:c r="G108" t="n">
        <x:f>SUM(G98,D108)</x:f>
        <x:v>41500</x:v>
      </x:c>
      <x:c r="H108" s="8"/>
    </x:row>
    <x:row r="109">
      <x:c r="A109" s="2"/>
      <x:c r="F109" t="s">
        <x:v>17</x:v>
      </x:c>
      <x:c r="G109">
        <x:v>37350</x:v>
      </x:c>
      <x:c r="H109" s="8"/>
    </x:row>
    <x:row r="110">
      <x:c r="A110" s="2"/>
      <x:c r="F110" t="s">
        <x:v>18</x:v>
      </x:c>
      <x:c r="G110">
        <x:v>4150</x:v>
      </x:c>
      <x:c r="H110" s="8"/>
    </x:row>
    <x:row r="111">
      <x:c r="A111" s="2"/>
      <x:c r="H111" s="8"/>
    </x:row>
    <x:row r="112">
      <x:c r="A112" s="2">
        <x:v>46221</x:v>
      </x:c>
      <x:c r="B112" t="s">
        <x:v>13</x:v>
      </x:c>
      <x:c r="C112">
        <x:v>7</x:v>
      </x:c>
      <x:c r="D112">
        <x:v>2900</x:v>
      </x:c>
      <x:c r="E112" t="n">
        <x:f>PRODUCT(D112,C112)</x:f>
        <x:v>20300</x:v>
      </x:c>
      <x:c r="H112" s="8" t="str">
        <x:v>feed</x:v>
      </x:c>
    </x:row>
    <x:row r="113">
      <x:c r="A113" s="2"/>
      <x:c r="B113" t="s">
        <x:v>43</x:v>
      </x:c>
      <x:c r="C113">
        <x:v>1</x:v>
      </x:c>
      <x:c r="D113">
        <x:v>1750</x:v>
      </x:c>
      <x:c r="E113" t="n">
        <x:f t="shared" ref="E113:E114" si="8">PRODUCT(D113,C113)</x:f>
        <x:v>1750</x:v>
      </x:c>
      <x:c r="H113" s="8" t="str">
        <x:v>feed</x:v>
      </x:c>
    </x:row>
    <x:row r="114">
      <x:c r="A114" s="2"/>
      <x:c r="B114" t="s">
        <x:v>9</x:v>
      </x:c>
      <x:c r="D114">
        <x:v>400</x:v>
      </x:c>
      <x:c r="E114">
        <x:f t="shared" si="8"/>
        <x:v>400</x:v>
      </x:c>
      <x:c r="H114" s="8" t="str">
        <x:v>transport</x:v>
      </x:c>
    </x:row>
    <x:row r="115">
      <x:c r="A115" s="2"/>
      <x:c r="H115" s="8"/>
    </x:row>
    <x:row r="116">
      <x:c r="A116" s="2"/>
      <x:c r="C116" t="s">
        <x:v>12</x:v>
      </x:c>
      <x:c r="D116" t="n">
        <x:f>SUM(E112,E113,E114)</x:f>
        <x:v>22450</x:v>
      </x:c>
      <x:c r="G116" t="n">
        <x:f>SUM(G110,D116)</x:f>
        <x:v>26600</x:v>
      </x:c>
      <x:c r="H116" s="8"/>
    </x:row>
    <x:row r="117">
      <x:c r="A117" s="2"/>
      <x:c r="H117" s="8"/>
    </x:row>
    <x:row r="118">
      <x:c r="A118" s="2">
        <x:v>46228</x:v>
      </x:c>
      <x:c r="B118" t="s">
        <x:v>13</x:v>
      </x:c>
      <x:c r="C118">
        <x:v>7</x:v>
      </x:c>
      <x:c r="D118">
        <x:v>2900</x:v>
      </x:c>
      <x:c r="E118" t="n">
        <x:f>PRODUCT(D118,C118)</x:f>
        <x:v>20300</x:v>
      </x:c>
      <x:c r="H118" s="8" t="str">
        <x:v>feed</x:v>
      </x:c>
    </x:row>
    <x:row r="119">
      <x:c r="A119" s="2"/>
      <x:c r="B119" t="s">
        <x:v>32</x:v>
      </x:c>
      <x:c r="C119">
        <x:v>1</x:v>
      </x:c>
      <x:c r="D119">
        <x:v>5300</x:v>
      </x:c>
      <x:c r="E119" t="n">
        <x:f t="shared" ref="E119:E121" si="9">PRODUCT(D119,C119)</x:f>
        <x:v>5300</x:v>
      </x:c>
      <x:c r="H119" s="8" t="str">
        <x:v>feed</x:v>
      </x:c>
    </x:row>
    <x:row r="120">
      <x:c r="A120" s="2"/>
      <x:c r="B120" t="s">
        <x:v>44</x:v>
      </x:c>
      <x:c r="C120">
        <x:v>6</x:v>
      </x:c>
      <x:c r="D120">
        <x:v>300</x:v>
      </x:c>
      <x:c r="E120">
        <x:f t="shared" si="9"/>
        <x:v>1800</x:v>
      </x:c>
      <x:c r="H120" s="8" t="str">
        <x:v>feed</x:v>
      </x:c>
    </x:row>
    <x:row r="121">
      <x:c r="A121" s="2"/>
      <x:c r="B121" t="s">
        <x:v>9</x:v>
      </x:c>
      <x:c r="D121">
        <x:v>400</x:v>
      </x:c>
      <x:c r="E121">
        <x:f t="shared" si="9"/>
        <x:v>400</x:v>
      </x:c>
      <x:c r="H121" s="8" t="str">
        <x:v>transport</x:v>
      </x:c>
    </x:row>
    <x:row r="122">
      <x:c r="A122" s="2"/>
      <x:c r="C122" t="s">
        <x:v>12</x:v>
      </x:c>
      <x:c r="D122" t="n">
        <x:f>SUM(E118,E119,E120,E121)</x:f>
        <x:v>27800</x:v>
      </x:c>
      <x:c r="G122" t="n">
        <x:f>SUM(G116,D122)</x:f>
        <x:v>54400</x:v>
      </x:c>
      <x:c r="H122" s="8"/>
    </x:row>
    <x:row r="123">
      <x:c r="A123" s="2"/>
      <x:c r="H123" s="8"/>
    </x:row>
    <x:row r="124">
      <x:c r="A124" s="2"/>
      <x:c r="F124" t="s">
        <x:v>45</x:v>
      </x:c>
      <x:c r="G124">
        <x:v>3050</x:v>
      </x:c>
      <x:c r="H124" s="8"/>
    </x:row>
    <x:row r="125">
      <x:c r="A125" s="2"/>
      <x:c r="F125" t="s">
        <x:v>4</x:v>
      </x:c>
      <x:c r="G125" t="n">
        <x:f>SUM(G122,G124)</x:f>
        <x:v>57450</x:v>
      </x:c>
      <x:c r="H125" s="8"/>
    </x:row>
  </x:sheetData>
  <x:mergeCells>
    <x:mergeCell ref="A2:A9"/>
    <x:mergeCell ref="A11:A16"/>
    <x:mergeCell ref="A36:A39"/>
    <x:mergeCell ref="A31:A35"/>
    <x:mergeCell ref="A22:A30"/>
    <x:mergeCell ref="A18:A21"/>
    <x:mergeCell ref="A41:A47"/>
    <x:mergeCell ref="A49:A55"/>
    <x:mergeCell ref="A56:A60"/>
    <x:mergeCell ref="A61:A68"/>
    <x:mergeCell ref="A71:A76"/>
    <x:mergeCell ref="A118:A125"/>
    <x:mergeCell ref="A77:A82"/>
    <x:mergeCell ref="A83:A86"/>
    <x:mergeCell ref="A88:A92"/>
    <x:mergeCell ref="A93:A99"/>
    <x:mergeCell ref="A100:A111"/>
    <x:mergeCell ref="A112:A1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